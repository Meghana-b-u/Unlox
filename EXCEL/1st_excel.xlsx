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ae3227b6f5559c/Documents/"/>
    </mc:Choice>
  </mc:AlternateContent>
  <xr:revisionPtr revIDLastSave="0" documentId="8_{E5F004D5-AC56-4D11-8EBB-D1A1A7BDBDAD}" xr6:coauthVersionLast="47" xr6:coauthVersionMax="47" xr10:uidLastSave="{00000000-0000-0000-0000-000000000000}"/>
  <bookViews>
    <workbookView xWindow="-108" yWindow="-108" windowWidth="23256" windowHeight="12456" xr2:uid="{4A72D6C7-5191-40E8-B09F-0B1998505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F18" i="1"/>
  <c r="F19" i="1"/>
  <c r="F20" i="1"/>
  <c r="F21" i="1"/>
  <c r="F17" i="1"/>
  <c r="B26" i="1"/>
  <c r="B25" i="1"/>
  <c r="B24" i="1"/>
  <c r="B23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<sst xmlns="http://schemas.openxmlformats.org/spreadsheetml/2006/main" count="46" uniqueCount="36">
  <si>
    <t xml:space="preserve">name </t>
  </si>
  <si>
    <t>age</t>
  </si>
  <si>
    <t>salary stucture</t>
  </si>
  <si>
    <t>gi</t>
  </si>
  <si>
    <t>gst</t>
  </si>
  <si>
    <t>pf</t>
  </si>
  <si>
    <t>net in</t>
  </si>
  <si>
    <t>a</t>
  </si>
  <si>
    <t>b</t>
  </si>
  <si>
    <t>c</t>
  </si>
  <si>
    <t>d</t>
  </si>
  <si>
    <t>e</t>
  </si>
  <si>
    <t>count</t>
  </si>
  <si>
    <t>total</t>
  </si>
  <si>
    <t>total age</t>
  </si>
  <si>
    <t>avg age</t>
  </si>
  <si>
    <t>youngest</t>
  </si>
  <si>
    <t>eldest</t>
  </si>
  <si>
    <t>product</t>
  </si>
  <si>
    <t>sales</t>
  </si>
  <si>
    <t>total sales</t>
  </si>
  <si>
    <t>min</t>
  </si>
  <si>
    <t>max</t>
  </si>
  <si>
    <t>avg</t>
  </si>
  <si>
    <t>name</t>
  </si>
  <si>
    <t>marks</t>
  </si>
  <si>
    <t>status</t>
  </si>
  <si>
    <t>gender</t>
  </si>
  <si>
    <t>m</t>
  </si>
  <si>
    <t>M</t>
  </si>
  <si>
    <t>male</t>
  </si>
  <si>
    <t>female</t>
  </si>
  <si>
    <t>Male</t>
  </si>
  <si>
    <t>F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</si>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</sst>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6978-2579-4589-BB42-981572F3CA14}">
  <dimension ref="A1:H26"/>
  <sheetViews>
    <sheetView tabSelected="1" workbookViewId="0">
      <selection activeCell="H17" sqref="H17"/>
    </sheetView>
  </sheetViews>
  <sheetFormatPr defaultRowHeight="14.4" x14ac:dyDescent="0.3"/>
  <cols>
    <col min="6" max="6" width="13.33203125" customWidth="1"/>
  </cols>
  <sheetData>
    <row r="1" spans="1:8" x14ac:dyDescent="0.3">
      <c r="A1" s="3" t="s">
        <v>0</v>
      </c>
      <c r="B1" s="3" t="s">
        <v>1</v>
      </c>
      <c r="C1" s="1" t="s">
        <v>2</v>
      </c>
      <c r="D1" s="1"/>
      <c r="E1" s="1"/>
      <c r="F1" s="4"/>
    </row>
    <row r="2" spans="1:8" x14ac:dyDescent="0.3">
      <c r="A2" s="2" t="s">
        <v>7</v>
      </c>
      <c r="B2" s="2">
        <v>23</v>
      </c>
      <c r="C2" s="2" t="s">
        <v>3</v>
      </c>
      <c r="D2" s="2" t="s">
        <v>4</v>
      </c>
      <c r="E2" s="2" t="s">
        <v>5</v>
      </c>
      <c r="F2" s="2" t="s">
        <v>6</v>
      </c>
    </row>
    <row r="3" spans="1:8" x14ac:dyDescent="0.3">
      <c r="A3" s="2" t="s">
        <v>8</v>
      </c>
      <c r="B3" s="2">
        <v>45</v>
      </c>
      <c r="C3" s="2"/>
      <c r="D3" s="2"/>
      <c r="E3" s="2"/>
      <c r="F3" s="2"/>
    </row>
    <row r="4" spans="1:8" x14ac:dyDescent="0.3">
      <c r="A4" s="2" t="s">
        <v>9</v>
      </c>
      <c r="B4" s="2">
        <v>67</v>
      </c>
      <c r="C4" s="2"/>
      <c r="D4" s="2"/>
      <c r="E4" s="2"/>
      <c r="F4" s="2"/>
    </row>
    <row r="5" spans="1:8" x14ac:dyDescent="0.3">
      <c r="A5" s="2" t="s">
        <v>10</v>
      </c>
      <c r="B5" s="2">
        <v>89</v>
      </c>
      <c r="C5" s="2"/>
      <c r="D5" s="2"/>
      <c r="E5" s="2"/>
      <c r="F5" s="2"/>
    </row>
    <row r="6" spans="1:8" x14ac:dyDescent="0.3">
      <c r="A6" s="2" t="s">
        <v>11</v>
      </c>
      <c r="B6" s="2">
        <v>10</v>
      </c>
      <c r="C6" s="2"/>
      <c r="D6" s="2"/>
      <c r="E6" s="2"/>
      <c r="F6" s="2"/>
    </row>
    <row r="7" spans="1:8" x14ac:dyDescent="0.3">
      <c r="A7" s="2" t="s">
        <v>12</v>
      </c>
      <c r="B7" s="2">
        <f>COUNT(B2:B6)</f>
        <v>5</v>
      </c>
      <c r="C7" s="2"/>
      <c r="D7" s="2"/>
      <c r="E7" s="2"/>
      <c r="F7" s="2"/>
    </row>
    <row r="8" spans="1:8" x14ac:dyDescent="0.3">
      <c r="A8" s="2" t="s">
        <v>14</v>
      </c>
      <c r="B8" s="2">
        <f>SUM(B2:B6)</f>
        <v>234</v>
      </c>
      <c r="C8" s="2"/>
      <c r="D8" s="2"/>
      <c r="E8" s="2"/>
      <c r="F8" s="2"/>
    </row>
    <row r="9" spans="1:8" x14ac:dyDescent="0.3">
      <c r="A9" s="2" t="s">
        <v>15</v>
      </c>
      <c r="B9" s="2">
        <f>AVERAGE(B2:B6)</f>
        <v>46.8</v>
      </c>
      <c r="C9" s="2"/>
      <c r="D9" s="2"/>
      <c r="E9" s="2"/>
      <c r="F9" s="2"/>
    </row>
    <row r="10" spans="1:8" x14ac:dyDescent="0.3">
      <c r="A10" s="2" t="s">
        <v>16</v>
      </c>
      <c r="B10" s="2">
        <f>MIN(B2:B6)</f>
        <v>10</v>
      </c>
      <c r="C10" s="2"/>
      <c r="D10" s="2"/>
      <c r="E10" s="2"/>
      <c r="F10" s="2"/>
    </row>
    <row r="11" spans="1:8" x14ac:dyDescent="0.3">
      <c r="A11" s="2" t="s">
        <v>17</v>
      </c>
      <c r="B11" s="2">
        <f>MAX((B2:B6))</f>
        <v>89</v>
      </c>
      <c r="C11" s="2"/>
      <c r="D11" s="2"/>
      <c r="E11" s="2"/>
      <c r="F11" s="2"/>
    </row>
    <row r="12" spans="1:8" x14ac:dyDescent="0.3">
      <c r="A12" s="2"/>
      <c r="B12" s="2"/>
      <c r="C12" s="2"/>
      <c r="D12" s="2"/>
      <c r="E12" s="2"/>
      <c r="F12" s="2"/>
    </row>
    <row r="13" spans="1:8" x14ac:dyDescent="0.3">
      <c r="A13" s="2"/>
      <c r="B13" s="2"/>
      <c r="C13" s="2"/>
      <c r="D13" s="2"/>
      <c r="E13" s="2"/>
      <c r="F13" s="2"/>
    </row>
    <row r="14" spans="1:8" x14ac:dyDescent="0.3">
      <c r="A14" s="2"/>
      <c r="B14" s="2"/>
      <c r="C14" s="2"/>
      <c r="D14" s="2"/>
      <c r="E14" s="2"/>
      <c r="F14" s="2"/>
    </row>
    <row r="16" spans="1:8" x14ac:dyDescent="0.3">
      <c r="A16" s="2" t="s">
        <v>18</v>
      </c>
      <c r="B16" s="2" t="s">
        <v>19</v>
      </c>
      <c r="D16" s="2" t="s">
        <v>24</v>
      </c>
      <c r="E16" s="2" t="s">
        <v>25</v>
      </c>
      <c r="F16" s="2" t="s">
        <v>26</v>
      </c>
      <c r="G16" s="5" t="s">
        <v>27</v>
      </c>
      <c r="H16" s="5" t="s">
        <v>35</v>
      </c>
    </row>
    <row r="17" spans="1:7" x14ac:dyDescent="0.3">
      <c r="A17" s="2" t="s">
        <v>7</v>
      </c>
      <c r="B17" s="2">
        <v>500</v>
      </c>
      <c r="D17" s="2" t="s">
        <v>7</v>
      </c>
      <c r="E17" s="2">
        <v>500</v>
      </c>
      <c r="F17" s="2" t="str">
        <f>IF(E17&gt;500,"pass","fail")</f>
        <v>fail</v>
      </c>
      <c r="G17" t="s">
        <v>28</v>
      </c>
    </row>
    <row r="18" spans="1:7" x14ac:dyDescent="0.3">
      <c r="A18" s="2" t="s">
        <v>8</v>
      </c>
      <c r="B18" s="2">
        <v>800</v>
      </c>
      <c r="D18" s="2" t="s">
        <v>8</v>
      </c>
      <c r="E18" s="2">
        <v>800</v>
      </c>
      <c r="F18" s="2" t="str">
        <f t="shared" ref="F18:F21" si="0">IF(E18&gt;500,"pass","fail")</f>
        <v>pass</v>
      </c>
      <c r="G18" t="s">
        <v>29</v>
      </c>
    </row>
    <row r="19" spans="1:7" x14ac:dyDescent="0.3">
      <c r="A19" s="2" t="s">
        <v>9</v>
      </c>
      <c r="B19" s="2">
        <v>1000</v>
      </c>
      <c r="D19" s="2" t="s">
        <v>9</v>
      </c>
      <c r="E19" s="2">
        <v>850</v>
      </c>
      <c r="F19" s="2" t="str">
        <f t="shared" si="0"/>
        <v>pass</v>
      </c>
      <c r="G19" t="s">
        <v>30</v>
      </c>
    </row>
    <row r="20" spans="1:7" x14ac:dyDescent="0.3">
      <c r="A20" s="2" t="s">
        <v>10</v>
      </c>
      <c r="B20" s="2">
        <v>900</v>
      </c>
      <c r="D20" s="2" t="s">
        <v>10</v>
      </c>
      <c r="E20" s="2">
        <v>650</v>
      </c>
      <c r="F20" s="2" t="str">
        <f t="shared" si="0"/>
        <v>pass</v>
      </c>
      <c r="G20" t="s">
        <v>31</v>
      </c>
    </row>
    <row r="21" spans="1:7" x14ac:dyDescent="0.3">
      <c r="A21" s="2" t="s">
        <v>11</v>
      </c>
      <c r="B21" s="2">
        <v>400</v>
      </c>
      <c r="D21" s="2" t="s">
        <v>11</v>
      </c>
      <c r="E21" s="2">
        <v>400</v>
      </c>
      <c r="F21" s="2" t="str">
        <f t="shared" si="0"/>
        <v>fail</v>
      </c>
      <c r="G21" t="s">
        <v>32</v>
      </c>
    </row>
    <row r="22" spans="1:7" x14ac:dyDescent="0.3">
      <c r="A22" s="2"/>
      <c r="B22" s="2"/>
      <c r="D22" s="2" t="s">
        <v>13</v>
      </c>
      <c r="E22" s="2">
        <f>SUM(E17:E21)</f>
        <v>3200</v>
      </c>
      <c r="F22" s="2" t="str">
        <f>IF(E22&gt;3000,"target achieved","failed")</f>
        <v>target achieved</v>
      </c>
      <c r="G22" t="s">
        <v>33</v>
      </c>
    </row>
    <row r="23" spans="1:7" x14ac:dyDescent="0.3">
      <c r="A23" s="2" t="s">
        <v>20</v>
      </c>
      <c r="B23" s="2">
        <f>SUM(B17:B21)</f>
        <v>3600</v>
      </c>
      <c r="G23" t="s">
        <v>34</v>
      </c>
    </row>
    <row r="24" spans="1:7" x14ac:dyDescent="0.3">
      <c r="A24" s="2" t="s">
        <v>21</v>
      </c>
      <c r="B24" s="2">
        <f>MIN(B17:B21)</f>
        <v>400</v>
      </c>
    </row>
    <row r="25" spans="1:7" x14ac:dyDescent="0.3">
      <c r="A25" s="2" t="s">
        <v>22</v>
      </c>
      <c r="B25" s="2">
        <f>MAX(B17:B21)</f>
        <v>1000</v>
      </c>
    </row>
    <row r="26" spans="1:7" x14ac:dyDescent="0.3">
      <c r="A26" s="2" t="s">
        <v>23</v>
      </c>
      <c r="B26" s="2">
        <f>AVERAGE(B17:B21)</f>
        <v>720</v>
      </c>
    </row>
  </sheetData>
  <mergeCells count="1">
    <mergeCell ref="C1:E1"/>
  </mergeCells>
  <dataValidations count="1">
    <dataValidation type="custom" allowBlank="1" showInputMessage="1" showErrorMessage="1" sqref="H18:H23 H17" xr:uid="{D7F76F0F-E3B5-45EE-9AFA-FA82CECD622D}">
      <formula1>"MALE 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Uppar</dc:creator>
  <cp:lastModifiedBy>Meghana Uppar</cp:lastModifiedBy>
  <dcterms:created xsi:type="dcterms:W3CDTF">2026-03-09T12:09:31Z</dcterms:created>
  <dcterms:modified xsi:type="dcterms:W3CDTF">2026-03-09T13:19:28Z</dcterms:modified>
</cp:coreProperties>
</file>